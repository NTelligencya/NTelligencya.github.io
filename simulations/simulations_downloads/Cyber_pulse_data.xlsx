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llydavis/Desktop/"/>
    </mc:Choice>
  </mc:AlternateContent>
  <xr:revisionPtr revIDLastSave="0" documentId="8_{B906E758-5005-1842-85CA-30EC368D457C}" xr6:coauthVersionLast="47" xr6:coauthVersionMax="47" xr10:uidLastSave="{00000000-0000-0000-0000-000000000000}"/>
  <bookViews>
    <workbookView xWindow="3080" yWindow="2200" windowWidth="28040" windowHeight="17180" activeTab="2" xr2:uid="{01DE4E40-D856-1142-BD73-812DB4E64EDF}"/>
  </bookViews>
  <sheets>
    <sheet name="Top End Survey" sheetId="2" r:id="rId1"/>
    <sheet name="Alice Springs Survey" sheetId="3" r:id="rId2"/>
    <sheet name="Hub Phishing Log" sheetId="4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" i="4" l="1"/>
  <c r="E7" i="4"/>
  <c r="I6" i="4"/>
  <c r="E6" i="4"/>
  <c r="I5" i="4"/>
  <c r="E5" i="4"/>
  <c r="I4" i="4"/>
  <c r="E4" i="4"/>
  <c r="I3" i="4"/>
  <c r="E3" i="4"/>
  <c r="I2" i="4"/>
  <c r="E2" i="4"/>
</calcChain>
</file>

<file path=xl/sharedStrings.xml><?xml version="1.0" encoding="utf-8"?>
<sst xmlns="http://schemas.openxmlformats.org/spreadsheetml/2006/main" count="224" uniqueCount="102">
  <si>
    <t>Council</t>
  </si>
  <si>
    <t>Suburb</t>
  </si>
  <si>
    <t>Surveyed</t>
  </si>
  <si>
    <t>Android</t>
  </si>
  <si>
    <t>iPhone</t>
  </si>
  <si>
    <t>No device</t>
  </si>
  <si>
    <t>Shares passwords</t>
  </si>
  <si>
    <t>No MFA</t>
  </si>
  <si>
    <t>Low cyber awareness</t>
  </si>
  <si>
    <t>City of Darwin</t>
  </si>
  <si>
    <t>Alawa</t>
  </si>
  <si>
    <t>Anula</t>
  </si>
  <si>
    <t>Bayview</t>
  </si>
  <si>
    <t>Berrimah</t>
  </si>
  <si>
    <t>Brinkin</t>
  </si>
  <si>
    <t>Casuarina</t>
  </si>
  <si>
    <t>Coconut Grove</t>
  </si>
  <si>
    <t>Darwin City</t>
  </si>
  <si>
    <t>East Point</t>
  </si>
  <si>
    <t>Fannie Bay</t>
  </si>
  <si>
    <t>Jingili</t>
  </si>
  <si>
    <t>Karama</t>
  </si>
  <si>
    <t>Larrakeyah</t>
  </si>
  <si>
    <t>Leanyer</t>
  </si>
  <si>
    <t>Lee Point</t>
  </si>
  <si>
    <t>Ludmilla</t>
  </si>
  <si>
    <t>Lyons</t>
  </si>
  <si>
    <t>Malak</t>
  </si>
  <si>
    <t>Marrara</t>
  </si>
  <si>
    <t>Millner</t>
  </si>
  <si>
    <t>Moil</t>
  </si>
  <si>
    <t>Muirhead</t>
  </si>
  <si>
    <t>Nakara</t>
  </si>
  <si>
    <t>Nightcliff</t>
  </si>
  <si>
    <t>Parap</t>
  </si>
  <si>
    <t>Rapid Creek</t>
  </si>
  <si>
    <t>Stuart Park</t>
  </si>
  <si>
    <t>The Gardens</t>
  </si>
  <si>
    <t>The Narrows</t>
  </si>
  <si>
    <t>Tiwi</t>
  </si>
  <si>
    <t>Wagaman</t>
  </si>
  <si>
    <t>Wanguri</t>
  </si>
  <si>
    <t>Winnellie</t>
  </si>
  <si>
    <t>Woolner</t>
  </si>
  <si>
    <t>Wulagi</t>
  </si>
  <si>
    <t>City of Palmerston</t>
  </si>
  <si>
    <t>Bakewell</t>
  </si>
  <si>
    <t>Bellamack</t>
  </si>
  <si>
    <t>Driver</t>
  </si>
  <si>
    <t>Durack</t>
  </si>
  <si>
    <t>Farrar</t>
  </si>
  <si>
    <t>Gray</t>
  </si>
  <si>
    <t>Gunn</t>
  </si>
  <si>
    <t>Johnston</t>
  </si>
  <si>
    <t>Marlow Lagoon</t>
  </si>
  <si>
    <t>Moulden</t>
  </si>
  <si>
    <t>Rosebery</t>
  </si>
  <si>
    <t>Woodroffe</t>
  </si>
  <si>
    <t>Zuccoli</t>
  </si>
  <si>
    <t>Litchfield</t>
  </si>
  <si>
    <t>Acacia Hills</t>
  </si>
  <si>
    <t>Bees Creek</t>
  </si>
  <si>
    <t>Berry Springs</t>
  </si>
  <si>
    <t>Coolalinga</t>
  </si>
  <si>
    <t>Girraween</t>
  </si>
  <si>
    <t>Holtze</t>
  </si>
  <si>
    <t>Howard Springs</t>
  </si>
  <si>
    <t>Humpty Doo</t>
  </si>
  <si>
    <t>Knuckey Lagoon</t>
  </si>
  <si>
    <t>Noonamah</t>
  </si>
  <si>
    <t>Age band</t>
  </si>
  <si>
    <t>Araluen</t>
  </si>
  <si>
    <t>Under 30</t>
  </si>
  <si>
    <t>30-59</t>
  </si>
  <si>
    <t>60+</t>
  </si>
  <si>
    <t>Braitling</t>
  </si>
  <si>
    <t>Ciccone</t>
  </si>
  <si>
    <t>Desert Springs</t>
  </si>
  <si>
    <t>East Side</t>
  </si>
  <si>
    <t>Gillen</t>
  </si>
  <si>
    <t>Ilparpa</t>
  </si>
  <si>
    <t>Larapinta</t>
  </si>
  <si>
    <t>Mount Johns</t>
  </si>
  <si>
    <t>Ross</t>
  </si>
  <si>
    <t>Sadadeen</t>
  </si>
  <si>
    <t>The Gap</t>
  </si>
  <si>
    <t>Undoolya</t>
  </si>
  <si>
    <t>Hub</t>
  </si>
  <si>
    <t>Jan</t>
  </si>
  <si>
    <t>Feb</t>
  </si>
  <si>
    <t>Mar</t>
  </si>
  <si>
    <t>Q1 Total</t>
  </si>
  <si>
    <t>Apr</t>
  </si>
  <si>
    <t>May</t>
  </si>
  <si>
    <t>Jun</t>
  </si>
  <si>
    <t>Q2 Total</t>
  </si>
  <si>
    <t>Darwin</t>
  </si>
  <si>
    <t>Palmerston</t>
  </si>
  <si>
    <t>Katherine</t>
  </si>
  <si>
    <t>Tennant Creek</t>
  </si>
  <si>
    <t>Alice Springs</t>
  </si>
  <si>
    <t>Nhulunbuy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</si>
</sst>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5F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3" fontId="0" fillId="0" borderId="0" xfId="0" applyNumberFormat="1"/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FC01C-A1EE-4647-B7F3-68CB02A4089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c48e1c8-906c-411c-8a2e-f2ecc52ae18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0258F-DEE2-EA44-A8A5-126172741DB7}">
  <dimension ref="A1:I59"/>
  <sheetViews>
    <sheetView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15.83203125" bestFit="1" customWidth="1"/>
    <col min="2" max="2" width="13.83203125" bestFit="1" customWidth="1"/>
    <col min="3" max="3" width="8.5" bestFit="1" customWidth="1"/>
    <col min="4" max="4" width="7.5" bestFit="1" customWidth="1"/>
    <col min="5" max="5" width="6.83203125" bestFit="1" customWidth="1"/>
    <col min="6" max="6" width="9.1640625" bestFit="1" customWidth="1"/>
    <col min="7" max="7" width="16.33203125" bestFit="1" customWidth="1"/>
    <col min="8" max="8" width="7.5" bestFit="1" customWidth="1"/>
    <col min="9" max="9" width="18.8320312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t="s">
        <v>9</v>
      </c>
      <c r="B2" t="s">
        <v>10</v>
      </c>
      <c r="C2" s="2">
        <v>140</v>
      </c>
      <c r="D2" s="2">
        <v>73</v>
      </c>
      <c r="E2" s="2">
        <v>59</v>
      </c>
      <c r="F2" s="2">
        <v>8</v>
      </c>
      <c r="G2" s="2">
        <v>61</v>
      </c>
      <c r="H2" s="2">
        <v>84</v>
      </c>
      <c r="I2" s="2">
        <v>54</v>
      </c>
    </row>
    <row r="3" spans="1:9" x14ac:dyDescent="0.2">
      <c r="A3" t="s">
        <v>9</v>
      </c>
      <c r="B3" t="s">
        <v>11</v>
      </c>
      <c r="C3" s="2">
        <v>538</v>
      </c>
      <c r="D3" s="2">
        <v>297</v>
      </c>
      <c r="E3" s="2">
        <v>218</v>
      </c>
      <c r="F3" s="2">
        <v>23</v>
      </c>
      <c r="G3" s="2">
        <v>236</v>
      </c>
      <c r="H3" s="2">
        <v>306</v>
      </c>
      <c r="I3" s="2">
        <v>201</v>
      </c>
    </row>
    <row r="4" spans="1:9" x14ac:dyDescent="0.2">
      <c r="A4" t="s">
        <v>9</v>
      </c>
      <c r="B4" t="s">
        <v>12</v>
      </c>
      <c r="C4" s="2">
        <v>473</v>
      </c>
      <c r="D4" s="2">
        <v>255</v>
      </c>
      <c r="E4" s="2">
        <v>194</v>
      </c>
      <c r="F4" s="2">
        <v>24</v>
      </c>
      <c r="G4" s="2">
        <v>200</v>
      </c>
      <c r="H4" s="2">
        <v>251</v>
      </c>
      <c r="I4" s="2">
        <v>146</v>
      </c>
    </row>
    <row r="5" spans="1:9" x14ac:dyDescent="0.2">
      <c r="A5" t="s">
        <v>9</v>
      </c>
      <c r="B5" t="s">
        <v>13</v>
      </c>
      <c r="C5" s="2">
        <v>227</v>
      </c>
      <c r="D5" s="2">
        <v>131</v>
      </c>
      <c r="E5" s="2">
        <v>87</v>
      </c>
      <c r="F5" s="2">
        <v>9</v>
      </c>
      <c r="G5" s="2">
        <v>100</v>
      </c>
      <c r="H5" s="2">
        <v>131</v>
      </c>
      <c r="I5" s="2">
        <v>84</v>
      </c>
    </row>
    <row r="6" spans="1:9" x14ac:dyDescent="0.2">
      <c r="A6" t="s">
        <v>9</v>
      </c>
      <c r="B6" t="s">
        <v>14</v>
      </c>
      <c r="C6" s="2">
        <v>187</v>
      </c>
      <c r="D6" s="2">
        <v>99</v>
      </c>
      <c r="E6" s="2">
        <v>82</v>
      </c>
      <c r="F6" s="2">
        <v>6</v>
      </c>
      <c r="G6" s="2">
        <v>84</v>
      </c>
      <c r="H6" s="2">
        <v>104</v>
      </c>
      <c r="I6" s="2">
        <v>63</v>
      </c>
    </row>
    <row r="7" spans="1:9" x14ac:dyDescent="0.2">
      <c r="A7" t="s">
        <v>9</v>
      </c>
      <c r="B7" t="s">
        <v>15</v>
      </c>
      <c r="C7" s="2">
        <v>461</v>
      </c>
      <c r="D7" s="2">
        <v>250</v>
      </c>
      <c r="E7" s="2">
        <v>200</v>
      </c>
      <c r="F7" s="2">
        <v>11</v>
      </c>
      <c r="G7" s="2">
        <v>192</v>
      </c>
      <c r="H7" s="2">
        <v>262</v>
      </c>
      <c r="I7" s="2">
        <v>152</v>
      </c>
    </row>
    <row r="8" spans="1:9" x14ac:dyDescent="0.2">
      <c r="A8" t="s">
        <v>9</v>
      </c>
      <c r="B8" t="s">
        <v>16</v>
      </c>
      <c r="C8" s="2">
        <v>314</v>
      </c>
      <c r="D8" s="2">
        <v>156</v>
      </c>
      <c r="E8" s="2">
        <v>144</v>
      </c>
      <c r="F8" s="2">
        <v>14</v>
      </c>
      <c r="G8" s="2">
        <v>137</v>
      </c>
      <c r="H8" s="2">
        <v>173</v>
      </c>
      <c r="I8" s="2">
        <v>121</v>
      </c>
    </row>
    <row r="9" spans="1:9" x14ac:dyDescent="0.2">
      <c r="A9" t="s">
        <v>9</v>
      </c>
      <c r="B9" t="s">
        <v>17</v>
      </c>
      <c r="C9" s="2">
        <v>268</v>
      </c>
      <c r="D9" s="2">
        <v>140</v>
      </c>
      <c r="E9" s="2">
        <v>118</v>
      </c>
      <c r="F9" s="2">
        <v>10</v>
      </c>
      <c r="G9" s="2">
        <v>113</v>
      </c>
      <c r="H9" s="2">
        <v>153</v>
      </c>
      <c r="I9" s="2">
        <v>94</v>
      </c>
    </row>
    <row r="10" spans="1:9" x14ac:dyDescent="0.2">
      <c r="A10" t="s">
        <v>9</v>
      </c>
      <c r="B10" t="s">
        <v>18</v>
      </c>
      <c r="C10" s="2">
        <v>139</v>
      </c>
      <c r="D10" s="2">
        <v>74</v>
      </c>
      <c r="E10" s="2">
        <v>58</v>
      </c>
      <c r="F10" s="2">
        <v>7</v>
      </c>
      <c r="G10" s="2">
        <v>62</v>
      </c>
      <c r="H10" s="2">
        <v>82</v>
      </c>
      <c r="I10" s="2">
        <v>47</v>
      </c>
    </row>
    <row r="11" spans="1:9" x14ac:dyDescent="0.2">
      <c r="A11" t="s">
        <v>9</v>
      </c>
      <c r="B11" t="s">
        <v>19</v>
      </c>
      <c r="C11" s="2">
        <v>348</v>
      </c>
      <c r="D11" s="2">
        <v>178</v>
      </c>
      <c r="E11" s="2">
        <v>157</v>
      </c>
      <c r="F11" s="2">
        <v>13</v>
      </c>
      <c r="G11" s="2">
        <v>155</v>
      </c>
      <c r="H11" s="2">
        <v>196</v>
      </c>
      <c r="I11" s="2">
        <v>122</v>
      </c>
    </row>
    <row r="12" spans="1:9" x14ac:dyDescent="0.2">
      <c r="A12" t="s">
        <v>9</v>
      </c>
      <c r="B12" t="s">
        <v>20</v>
      </c>
      <c r="C12" s="2">
        <v>92</v>
      </c>
      <c r="D12" s="2">
        <v>51</v>
      </c>
      <c r="E12" s="2">
        <v>36</v>
      </c>
      <c r="F12" s="2">
        <v>5</v>
      </c>
      <c r="G12" s="2">
        <v>41</v>
      </c>
      <c r="H12" s="2">
        <v>55</v>
      </c>
      <c r="I12" s="2">
        <v>32</v>
      </c>
    </row>
    <row r="13" spans="1:9" x14ac:dyDescent="0.2">
      <c r="A13" t="s">
        <v>9</v>
      </c>
      <c r="B13" t="s">
        <v>21</v>
      </c>
      <c r="C13" s="2">
        <v>423</v>
      </c>
      <c r="D13" s="2">
        <v>208</v>
      </c>
      <c r="E13" s="2">
        <v>196</v>
      </c>
      <c r="F13" s="2">
        <v>19</v>
      </c>
      <c r="G13" s="2">
        <v>179</v>
      </c>
      <c r="H13" s="2">
        <v>238</v>
      </c>
      <c r="I13" s="2">
        <v>137</v>
      </c>
    </row>
    <row r="14" spans="1:9" x14ac:dyDescent="0.2">
      <c r="A14" t="s">
        <v>9</v>
      </c>
      <c r="B14" t="s">
        <v>22</v>
      </c>
      <c r="C14" s="2">
        <v>533</v>
      </c>
      <c r="D14" s="2">
        <v>264</v>
      </c>
      <c r="E14" s="2">
        <v>243</v>
      </c>
      <c r="F14" s="2">
        <v>26</v>
      </c>
      <c r="G14" s="2">
        <v>231</v>
      </c>
      <c r="H14" s="2">
        <v>309</v>
      </c>
      <c r="I14" s="2">
        <v>211</v>
      </c>
    </row>
    <row r="15" spans="1:9" x14ac:dyDescent="0.2">
      <c r="A15" t="s">
        <v>9</v>
      </c>
      <c r="B15" t="s">
        <v>23</v>
      </c>
      <c r="C15" s="2">
        <v>359</v>
      </c>
      <c r="D15" s="2">
        <v>183</v>
      </c>
      <c r="E15" s="2">
        <v>163</v>
      </c>
      <c r="F15" s="2">
        <v>13</v>
      </c>
      <c r="G15" s="2">
        <v>162</v>
      </c>
      <c r="H15" s="2">
        <v>204</v>
      </c>
      <c r="I15" s="2">
        <v>131</v>
      </c>
    </row>
    <row r="16" spans="1:9" x14ac:dyDescent="0.2">
      <c r="A16" t="s">
        <v>9</v>
      </c>
      <c r="B16" t="s">
        <v>24</v>
      </c>
      <c r="C16" s="2">
        <v>437</v>
      </c>
      <c r="D16" s="2">
        <v>235</v>
      </c>
      <c r="E16" s="2">
        <v>178</v>
      </c>
      <c r="F16" s="2">
        <v>24</v>
      </c>
      <c r="G16" s="2">
        <v>184</v>
      </c>
      <c r="H16" s="2">
        <v>241</v>
      </c>
      <c r="I16" s="2">
        <v>143</v>
      </c>
    </row>
    <row r="17" spans="1:9" x14ac:dyDescent="0.2">
      <c r="A17" t="s">
        <v>9</v>
      </c>
      <c r="B17" t="s">
        <v>25</v>
      </c>
      <c r="C17" s="2">
        <v>96</v>
      </c>
      <c r="D17" s="2">
        <v>48</v>
      </c>
      <c r="E17" s="2">
        <v>43</v>
      </c>
      <c r="F17" s="2">
        <v>5</v>
      </c>
      <c r="G17" s="2">
        <v>43</v>
      </c>
      <c r="H17" s="2">
        <v>56</v>
      </c>
      <c r="I17" s="2">
        <v>38</v>
      </c>
    </row>
    <row r="18" spans="1:9" x14ac:dyDescent="0.2">
      <c r="A18" t="s">
        <v>9</v>
      </c>
      <c r="B18" t="s">
        <v>26</v>
      </c>
      <c r="C18" s="2">
        <v>264</v>
      </c>
      <c r="D18" s="2">
        <v>156</v>
      </c>
      <c r="E18" s="2">
        <v>100</v>
      </c>
      <c r="F18" s="2">
        <v>8</v>
      </c>
      <c r="G18" s="2">
        <v>112</v>
      </c>
      <c r="H18" s="2">
        <v>149</v>
      </c>
      <c r="I18" s="2">
        <v>101</v>
      </c>
    </row>
    <row r="19" spans="1:9" x14ac:dyDescent="0.2">
      <c r="A19" t="s">
        <v>9</v>
      </c>
      <c r="B19" t="s">
        <v>27</v>
      </c>
      <c r="C19" s="2">
        <v>493</v>
      </c>
      <c r="D19" s="2">
        <v>262</v>
      </c>
      <c r="E19" s="2">
        <v>208</v>
      </c>
      <c r="F19" s="2">
        <v>23</v>
      </c>
      <c r="G19" s="2">
        <v>198</v>
      </c>
      <c r="H19" s="2">
        <v>271</v>
      </c>
      <c r="I19" s="2">
        <v>170</v>
      </c>
    </row>
    <row r="20" spans="1:9" x14ac:dyDescent="0.2">
      <c r="A20" t="s">
        <v>9</v>
      </c>
      <c r="B20" t="s">
        <v>28</v>
      </c>
      <c r="C20" s="2">
        <v>495</v>
      </c>
      <c r="D20" s="2">
        <v>243</v>
      </c>
      <c r="E20" s="2">
        <v>228</v>
      </c>
      <c r="F20" s="2">
        <v>24</v>
      </c>
      <c r="G20" s="2">
        <v>217</v>
      </c>
      <c r="H20" s="2">
        <v>280</v>
      </c>
      <c r="I20" s="2">
        <v>171</v>
      </c>
    </row>
    <row r="21" spans="1:9" x14ac:dyDescent="0.2">
      <c r="A21" t="s">
        <v>9</v>
      </c>
      <c r="B21" t="s">
        <v>29</v>
      </c>
      <c r="C21" s="2">
        <v>173</v>
      </c>
      <c r="D21" s="2">
        <v>103</v>
      </c>
      <c r="E21" s="2">
        <v>61</v>
      </c>
      <c r="F21" s="2">
        <v>9</v>
      </c>
      <c r="G21" s="2">
        <v>73</v>
      </c>
      <c r="H21" s="2">
        <v>92</v>
      </c>
      <c r="I21" s="2">
        <v>57</v>
      </c>
    </row>
    <row r="22" spans="1:9" x14ac:dyDescent="0.2">
      <c r="A22" t="s">
        <v>9</v>
      </c>
      <c r="B22" t="s">
        <v>30</v>
      </c>
      <c r="C22" s="2">
        <v>335</v>
      </c>
      <c r="D22" s="2">
        <v>176</v>
      </c>
      <c r="E22" s="2">
        <v>150</v>
      </c>
      <c r="F22" s="2">
        <v>9</v>
      </c>
      <c r="G22" s="2">
        <v>148</v>
      </c>
      <c r="H22" s="2">
        <v>181</v>
      </c>
      <c r="I22" s="2">
        <v>131</v>
      </c>
    </row>
    <row r="23" spans="1:9" x14ac:dyDescent="0.2">
      <c r="A23" t="s">
        <v>9</v>
      </c>
      <c r="B23" t="s">
        <v>31</v>
      </c>
      <c r="C23" s="2">
        <v>127</v>
      </c>
      <c r="D23" s="2">
        <v>61</v>
      </c>
      <c r="E23" s="2">
        <v>61</v>
      </c>
      <c r="F23" s="2">
        <v>5</v>
      </c>
      <c r="G23" s="2">
        <v>57</v>
      </c>
      <c r="H23" s="2">
        <v>68</v>
      </c>
      <c r="I23" s="2">
        <v>48</v>
      </c>
    </row>
    <row r="24" spans="1:9" x14ac:dyDescent="0.2">
      <c r="A24" t="s">
        <v>9</v>
      </c>
      <c r="B24" t="s">
        <v>32</v>
      </c>
      <c r="C24" s="2">
        <v>206</v>
      </c>
      <c r="D24" s="2">
        <v>102</v>
      </c>
      <c r="E24" s="2">
        <v>100</v>
      </c>
      <c r="F24" s="2">
        <v>4</v>
      </c>
      <c r="G24" s="2">
        <v>88</v>
      </c>
      <c r="H24" s="2">
        <v>113</v>
      </c>
      <c r="I24" s="2">
        <v>77</v>
      </c>
    </row>
    <row r="25" spans="1:9" x14ac:dyDescent="0.2">
      <c r="A25" t="s">
        <v>9</v>
      </c>
      <c r="B25" t="s">
        <v>33</v>
      </c>
      <c r="C25" s="2">
        <v>262</v>
      </c>
      <c r="D25" s="2">
        <v>131</v>
      </c>
      <c r="E25" s="2">
        <v>122</v>
      </c>
      <c r="F25" s="2">
        <v>9</v>
      </c>
      <c r="G25" s="2">
        <v>112</v>
      </c>
      <c r="H25" s="2">
        <v>153</v>
      </c>
      <c r="I25" s="2">
        <v>103</v>
      </c>
    </row>
    <row r="26" spans="1:9" x14ac:dyDescent="0.2">
      <c r="A26" t="s">
        <v>9</v>
      </c>
      <c r="B26" t="s">
        <v>34</v>
      </c>
      <c r="C26" s="2">
        <v>331</v>
      </c>
      <c r="D26" s="2">
        <v>186</v>
      </c>
      <c r="E26" s="2">
        <v>126</v>
      </c>
      <c r="F26" s="2">
        <v>19</v>
      </c>
      <c r="G26" s="2">
        <v>141</v>
      </c>
      <c r="H26" s="2">
        <v>186</v>
      </c>
      <c r="I26" s="2">
        <v>104</v>
      </c>
    </row>
    <row r="27" spans="1:9" x14ac:dyDescent="0.2">
      <c r="A27" t="s">
        <v>9</v>
      </c>
      <c r="B27" t="s">
        <v>35</v>
      </c>
      <c r="C27" s="2">
        <v>386</v>
      </c>
      <c r="D27" s="2">
        <v>226</v>
      </c>
      <c r="E27" s="2">
        <v>144</v>
      </c>
      <c r="F27" s="2">
        <v>16</v>
      </c>
      <c r="G27" s="2">
        <v>156</v>
      </c>
      <c r="H27" s="2">
        <v>223</v>
      </c>
      <c r="I27" s="2">
        <v>152</v>
      </c>
    </row>
    <row r="28" spans="1:9" x14ac:dyDescent="0.2">
      <c r="A28" t="s">
        <v>9</v>
      </c>
      <c r="B28" t="s">
        <v>36</v>
      </c>
      <c r="C28" s="2">
        <v>481</v>
      </c>
      <c r="D28" s="2">
        <v>276</v>
      </c>
      <c r="E28" s="2">
        <v>184</v>
      </c>
      <c r="F28" s="2">
        <v>21</v>
      </c>
      <c r="G28" s="2">
        <v>205</v>
      </c>
      <c r="H28" s="2">
        <v>268</v>
      </c>
      <c r="I28" s="2">
        <v>151</v>
      </c>
    </row>
    <row r="29" spans="1:9" x14ac:dyDescent="0.2">
      <c r="A29" t="s">
        <v>9</v>
      </c>
      <c r="B29" t="s">
        <v>37</v>
      </c>
      <c r="C29" s="2">
        <v>493</v>
      </c>
      <c r="D29" s="2">
        <v>248</v>
      </c>
      <c r="E29" s="2">
        <v>235</v>
      </c>
      <c r="F29" s="2">
        <v>10</v>
      </c>
      <c r="G29" s="2">
        <v>200</v>
      </c>
      <c r="H29" s="2">
        <v>292</v>
      </c>
      <c r="I29" s="2">
        <v>150</v>
      </c>
    </row>
    <row r="30" spans="1:9" x14ac:dyDescent="0.2">
      <c r="A30" t="s">
        <v>9</v>
      </c>
      <c r="B30" t="s">
        <v>38</v>
      </c>
      <c r="C30" s="2">
        <v>257</v>
      </c>
      <c r="D30" s="2">
        <v>143</v>
      </c>
      <c r="E30" s="2">
        <v>99</v>
      </c>
      <c r="F30" s="2">
        <v>15</v>
      </c>
      <c r="G30" s="2">
        <v>115</v>
      </c>
      <c r="H30" s="2">
        <v>137</v>
      </c>
      <c r="I30" s="2">
        <v>89</v>
      </c>
    </row>
    <row r="31" spans="1:9" x14ac:dyDescent="0.2">
      <c r="A31" t="s">
        <v>9</v>
      </c>
      <c r="B31" t="s">
        <v>39</v>
      </c>
      <c r="C31" s="2">
        <v>429</v>
      </c>
      <c r="D31" s="2">
        <v>222</v>
      </c>
      <c r="E31" s="2">
        <v>193</v>
      </c>
      <c r="F31" s="2">
        <v>14</v>
      </c>
      <c r="G31" s="2">
        <v>174</v>
      </c>
      <c r="H31" s="2">
        <v>256</v>
      </c>
      <c r="I31" s="2">
        <v>153</v>
      </c>
    </row>
    <row r="32" spans="1:9" x14ac:dyDescent="0.2">
      <c r="A32" t="s">
        <v>9</v>
      </c>
      <c r="B32" t="s">
        <v>40</v>
      </c>
      <c r="C32" s="2">
        <v>492</v>
      </c>
      <c r="D32" s="2">
        <v>246</v>
      </c>
      <c r="E32" s="2">
        <v>225</v>
      </c>
      <c r="F32" s="2">
        <v>21</v>
      </c>
      <c r="G32" s="2">
        <v>202</v>
      </c>
      <c r="H32" s="2">
        <v>282</v>
      </c>
      <c r="I32" s="2">
        <v>170</v>
      </c>
    </row>
    <row r="33" spans="1:9" x14ac:dyDescent="0.2">
      <c r="A33" t="s">
        <v>9</v>
      </c>
      <c r="B33" t="s">
        <v>41</v>
      </c>
      <c r="C33" s="2">
        <v>199</v>
      </c>
      <c r="D33" s="2">
        <v>112</v>
      </c>
      <c r="E33" s="2">
        <v>82</v>
      </c>
      <c r="F33" s="2">
        <v>5</v>
      </c>
      <c r="G33" s="2">
        <v>84</v>
      </c>
      <c r="H33" s="2">
        <v>108</v>
      </c>
      <c r="I33" s="2">
        <v>78</v>
      </c>
    </row>
    <row r="34" spans="1:9" x14ac:dyDescent="0.2">
      <c r="A34" t="s">
        <v>9</v>
      </c>
      <c r="B34" t="s">
        <v>42</v>
      </c>
      <c r="C34" s="2">
        <v>103</v>
      </c>
      <c r="D34" s="2">
        <v>57</v>
      </c>
      <c r="E34" s="2">
        <v>40</v>
      </c>
      <c r="F34" s="2">
        <v>6</v>
      </c>
      <c r="G34" s="2">
        <v>41</v>
      </c>
      <c r="H34" s="2">
        <v>61</v>
      </c>
      <c r="I34" s="2">
        <v>38</v>
      </c>
    </row>
    <row r="35" spans="1:9" x14ac:dyDescent="0.2">
      <c r="A35" t="s">
        <v>9</v>
      </c>
      <c r="B35" t="s">
        <v>43</v>
      </c>
      <c r="C35" s="2">
        <v>327</v>
      </c>
      <c r="D35" s="2">
        <v>185</v>
      </c>
      <c r="E35" s="2">
        <v>124</v>
      </c>
      <c r="F35" s="2">
        <v>18</v>
      </c>
      <c r="G35" s="2">
        <v>133</v>
      </c>
      <c r="H35" s="2">
        <v>185</v>
      </c>
      <c r="I35" s="2">
        <v>124</v>
      </c>
    </row>
    <row r="36" spans="1:9" x14ac:dyDescent="0.2">
      <c r="A36" t="s">
        <v>9</v>
      </c>
      <c r="B36" t="s">
        <v>44</v>
      </c>
      <c r="C36" s="2">
        <v>344</v>
      </c>
      <c r="D36" s="2">
        <v>202</v>
      </c>
      <c r="E36" s="2">
        <v>133</v>
      </c>
      <c r="F36" s="2">
        <v>9</v>
      </c>
      <c r="G36" s="2">
        <v>149</v>
      </c>
      <c r="H36" s="2">
        <v>187</v>
      </c>
      <c r="I36" s="2">
        <v>113</v>
      </c>
    </row>
    <row r="37" spans="1:9" x14ac:dyDescent="0.2">
      <c r="A37" t="s">
        <v>45</v>
      </c>
      <c r="B37" t="s">
        <v>46</v>
      </c>
      <c r="C37" s="2">
        <v>352</v>
      </c>
      <c r="D37" s="2">
        <v>186</v>
      </c>
      <c r="E37" s="2">
        <v>158</v>
      </c>
      <c r="F37" s="2">
        <v>8</v>
      </c>
      <c r="G37" s="2">
        <v>146</v>
      </c>
      <c r="H37" s="2">
        <v>195</v>
      </c>
      <c r="I37" s="2">
        <v>115</v>
      </c>
    </row>
    <row r="38" spans="1:9" x14ac:dyDescent="0.2">
      <c r="A38" t="s">
        <v>45</v>
      </c>
      <c r="B38" t="s">
        <v>47</v>
      </c>
      <c r="C38" s="2">
        <v>334</v>
      </c>
      <c r="D38" s="2">
        <v>200</v>
      </c>
      <c r="E38" s="2">
        <v>116</v>
      </c>
      <c r="F38" s="2">
        <v>18</v>
      </c>
      <c r="G38" s="2">
        <v>138</v>
      </c>
      <c r="H38" s="2">
        <v>181</v>
      </c>
      <c r="I38" s="2">
        <v>118</v>
      </c>
    </row>
    <row r="39" spans="1:9" x14ac:dyDescent="0.2">
      <c r="A39" t="s">
        <v>45</v>
      </c>
      <c r="B39" t="s">
        <v>48</v>
      </c>
      <c r="C39" s="2">
        <v>307</v>
      </c>
      <c r="D39" s="2">
        <v>152</v>
      </c>
      <c r="E39" s="2">
        <v>139</v>
      </c>
      <c r="F39" s="2">
        <v>16</v>
      </c>
      <c r="G39" s="2">
        <v>135</v>
      </c>
      <c r="H39" s="2">
        <v>180</v>
      </c>
      <c r="I39" s="2">
        <v>118</v>
      </c>
    </row>
    <row r="40" spans="1:9" x14ac:dyDescent="0.2">
      <c r="A40" t="s">
        <v>45</v>
      </c>
      <c r="B40" t="s">
        <v>49</v>
      </c>
      <c r="C40" s="2">
        <v>198</v>
      </c>
      <c r="D40" s="2">
        <v>95</v>
      </c>
      <c r="E40" s="2">
        <v>98</v>
      </c>
      <c r="F40" s="2">
        <v>5</v>
      </c>
      <c r="G40" s="2">
        <v>84</v>
      </c>
      <c r="H40" s="2">
        <v>110</v>
      </c>
      <c r="I40" s="2">
        <v>70</v>
      </c>
    </row>
    <row r="41" spans="1:9" x14ac:dyDescent="0.2">
      <c r="A41" t="s">
        <v>45</v>
      </c>
      <c r="B41" t="s">
        <v>50</v>
      </c>
      <c r="C41" s="2">
        <v>506</v>
      </c>
      <c r="D41" s="2">
        <v>294</v>
      </c>
      <c r="E41" s="2">
        <v>188</v>
      </c>
      <c r="F41" s="2">
        <v>24</v>
      </c>
      <c r="G41" s="2">
        <v>227</v>
      </c>
      <c r="H41" s="2">
        <v>281</v>
      </c>
      <c r="I41" s="2">
        <v>160</v>
      </c>
    </row>
    <row r="42" spans="1:9" x14ac:dyDescent="0.2">
      <c r="A42" t="s">
        <v>45</v>
      </c>
      <c r="B42" t="s">
        <v>51</v>
      </c>
      <c r="C42" s="2">
        <v>367</v>
      </c>
      <c r="D42" s="2">
        <v>206</v>
      </c>
      <c r="E42" s="2">
        <v>142</v>
      </c>
      <c r="F42" s="2">
        <v>19</v>
      </c>
      <c r="G42" s="2">
        <v>151</v>
      </c>
      <c r="H42" s="2">
        <v>210</v>
      </c>
      <c r="I42" s="2">
        <v>120</v>
      </c>
    </row>
    <row r="43" spans="1:9" x14ac:dyDescent="0.2">
      <c r="A43" t="s">
        <v>45</v>
      </c>
      <c r="B43" t="s">
        <v>52</v>
      </c>
      <c r="C43" s="2">
        <v>464</v>
      </c>
      <c r="D43" s="2">
        <v>254</v>
      </c>
      <c r="E43" s="2">
        <v>197</v>
      </c>
      <c r="F43" s="2">
        <v>13</v>
      </c>
      <c r="G43" s="2">
        <v>192</v>
      </c>
      <c r="H43" s="2">
        <v>255</v>
      </c>
      <c r="I43" s="2">
        <v>165</v>
      </c>
    </row>
    <row r="44" spans="1:9" x14ac:dyDescent="0.2">
      <c r="A44" t="s">
        <v>45</v>
      </c>
      <c r="B44" t="s">
        <v>53</v>
      </c>
      <c r="C44" s="2">
        <v>131</v>
      </c>
      <c r="D44" s="2">
        <v>75</v>
      </c>
      <c r="E44" s="2">
        <v>53</v>
      </c>
      <c r="F44" s="2">
        <v>3</v>
      </c>
      <c r="G44" s="2">
        <v>55</v>
      </c>
      <c r="H44" s="2">
        <v>70</v>
      </c>
      <c r="I44" s="2">
        <v>40</v>
      </c>
    </row>
    <row r="45" spans="1:9" x14ac:dyDescent="0.2">
      <c r="A45" t="s">
        <v>45</v>
      </c>
      <c r="B45" t="s">
        <v>54</v>
      </c>
      <c r="C45" s="2">
        <v>262</v>
      </c>
      <c r="D45" s="2">
        <v>148</v>
      </c>
      <c r="E45" s="2">
        <v>107</v>
      </c>
      <c r="F45" s="2">
        <v>7</v>
      </c>
      <c r="G45" s="2">
        <v>113</v>
      </c>
      <c r="H45" s="2">
        <v>148</v>
      </c>
      <c r="I45" s="2">
        <v>86</v>
      </c>
    </row>
    <row r="46" spans="1:9" x14ac:dyDescent="0.2">
      <c r="A46" t="s">
        <v>45</v>
      </c>
      <c r="B46" t="s">
        <v>55</v>
      </c>
      <c r="C46" s="2">
        <v>508</v>
      </c>
      <c r="D46" s="2">
        <v>248</v>
      </c>
      <c r="E46" s="2">
        <v>231</v>
      </c>
      <c r="F46" s="2">
        <v>29</v>
      </c>
      <c r="G46" s="2">
        <v>207</v>
      </c>
      <c r="H46" s="2">
        <v>278</v>
      </c>
      <c r="I46" s="2">
        <v>153</v>
      </c>
    </row>
    <row r="47" spans="1:9" x14ac:dyDescent="0.2">
      <c r="A47" t="s">
        <v>45</v>
      </c>
      <c r="B47" t="s">
        <v>56</v>
      </c>
      <c r="C47" s="2">
        <v>523</v>
      </c>
      <c r="D47" s="2">
        <v>307</v>
      </c>
      <c r="E47" s="2">
        <v>189</v>
      </c>
      <c r="F47" s="2">
        <v>27</v>
      </c>
      <c r="G47" s="2">
        <v>220</v>
      </c>
      <c r="H47" s="2">
        <v>278</v>
      </c>
      <c r="I47" s="2">
        <v>162</v>
      </c>
    </row>
    <row r="48" spans="1:9" x14ac:dyDescent="0.2">
      <c r="A48" t="s">
        <v>45</v>
      </c>
      <c r="B48" t="s">
        <v>57</v>
      </c>
      <c r="C48" s="2">
        <v>91</v>
      </c>
      <c r="D48" s="2">
        <v>47</v>
      </c>
      <c r="E48" s="2">
        <v>42</v>
      </c>
      <c r="F48" s="2">
        <v>2</v>
      </c>
      <c r="G48" s="2">
        <v>39</v>
      </c>
      <c r="H48" s="2">
        <v>55</v>
      </c>
      <c r="I48" s="2">
        <v>35</v>
      </c>
    </row>
    <row r="49" spans="1:9" x14ac:dyDescent="0.2">
      <c r="A49" t="s">
        <v>45</v>
      </c>
      <c r="B49" t="s">
        <v>58</v>
      </c>
      <c r="C49" s="2">
        <v>241</v>
      </c>
      <c r="D49" s="2">
        <v>138</v>
      </c>
      <c r="E49" s="2">
        <v>92</v>
      </c>
      <c r="F49" s="2">
        <v>11</v>
      </c>
      <c r="G49" s="2">
        <v>104</v>
      </c>
      <c r="H49" s="2">
        <v>138</v>
      </c>
      <c r="I49" s="2">
        <v>95</v>
      </c>
    </row>
    <row r="50" spans="1:9" x14ac:dyDescent="0.2">
      <c r="A50" t="s">
        <v>59</v>
      </c>
      <c r="B50" t="s">
        <v>60</v>
      </c>
      <c r="C50" s="2">
        <v>241</v>
      </c>
      <c r="D50" s="2">
        <v>133</v>
      </c>
      <c r="E50" s="2">
        <v>97</v>
      </c>
      <c r="F50" s="2">
        <v>11</v>
      </c>
      <c r="G50" s="2">
        <v>102</v>
      </c>
      <c r="H50" s="2">
        <v>139</v>
      </c>
      <c r="I50" s="2">
        <v>75</v>
      </c>
    </row>
    <row r="51" spans="1:9" x14ac:dyDescent="0.2">
      <c r="A51" t="s">
        <v>59</v>
      </c>
      <c r="B51" t="s">
        <v>61</v>
      </c>
      <c r="C51" s="2">
        <v>271</v>
      </c>
      <c r="D51" s="2">
        <v>158</v>
      </c>
      <c r="E51" s="2">
        <v>100</v>
      </c>
      <c r="F51" s="2">
        <v>13</v>
      </c>
      <c r="G51" s="2">
        <v>121</v>
      </c>
      <c r="H51" s="2">
        <v>151</v>
      </c>
      <c r="I51" s="2">
        <v>107</v>
      </c>
    </row>
    <row r="52" spans="1:9" x14ac:dyDescent="0.2">
      <c r="A52" t="s">
        <v>59</v>
      </c>
      <c r="B52" t="s">
        <v>62</v>
      </c>
      <c r="C52" s="2">
        <v>262</v>
      </c>
      <c r="D52" s="2">
        <v>128</v>
      </c>
      <c r="E52" s="2">
        <v>121</v>
      </c>
      <c r="F52" s="2">
        <v>13</v>
      </c>
      <c r="G52" s="2">
        <v>116</v>
      </c>
      <c r="H52" s="2">
        <v>144</v>
      </c>
      <c r="I52" s="2">
        <v>87</v>
      </c>
    </row>
    <row r="53" spans="1:9" x14ac:dyDescent="0.2">
      <c r="A53" t="s">
        <v>59</v>
      </c>
      <c r="B53" t="s">
        <v>63</v>
      </c>
      <c r="C53" s="2">
        <v>452</v>
      </c>
      <c r="D53" s="2">
        <v>269</v>
      </c>
      <c r="E53" s="2">
        <v>159</v>
      </c>
      <c r="F53" s="2">
        <v>24</v>
      </c>
      <c r="G53" s="2">
        <v>184</v>
      </c>
      <c r="H53" s="2">
        <v>264</v>
      </c>
      <c r="I53" s="2">
        <v>150</v>
      </c>
    </row>
    <row r="54" spans="1:9" x14ac:dyDescent="0.2">
      <c r="A54" t="s">
        <v>59</v>
      </c>
      <c r="B54" t="s">
        <v>64</v>
      </c>
      <c r="C54" s="2">
        <v>542</v>
      </c>
      <c r="D54" s="2">
        <v>261</v>
      </c>
      <c r="E54" s="2">
        <v>249</v>
      </c>
      <c r="F54" s="2">
        <v>32</v>
      </c>
      <c r="G54" s="2">
        <v>222</v>
      </c>
      <c r="H54" s="2">
        <v>289</v>
      </c>
      <c r="I54" s="2">
        <v>217</v>
      </c>
    </row>
    <row r="55" spans="1:9" x14ac:dyDescent="0.2">
      <c r="A55" t="s">
        <v>59</v>
      </c>
      <c r="B55" t="s">
        <v>65</v>
      </c>
      <c r="C55" s="2">
        <v>163</v>
      </c>
      <c r="D55" s="2">
        <v>90</v>
      </c>
      <c r="E55" s="2">
        <v>69</v>
      </c>
      <c r="F55" s="2">
        <v>4</v>
      </c>
      <c r="G55" s="2">
        <v>66</v>
      </c>
      <c r="H55" s="2">
        <v>90</v>
      </c>
      <c r="I55" s="2">
        <v>59</v>
      </c>
    </row>
    <row r="56" spans="1:9" x14ac:dyDescent="0.2">
      <c r="A56" t="s">
        <v>59</v>
      </c>
      <c r="B56" t="s">
        <v>66</v>
      </c>
      <c r="C56" s="2">
        <v>415</v>
      </c>
      <c r="D56" s="2">
        <v>214</v>
      </c>
      <c r="E56" s="2">
        <v>186</v>
      </c>
      <c r="F56" s="2">
        <v>15</v>
      </c>
      <c r="G56" s="2">
        <v>169</v>
      </c>
      <c r="H56" s="2">
        <v>232</v>
      </c>
      <c r="I56" s="2">
        <v>140</v>
      </c>
    </row>
    <row r="57" spans="1:9" x14ac:dyDescent="0.2">
      <c r="A57" t="s">
        <v>59</v>
      </c>
      <c r="B57" t="s">
        <v>67</v>
      </c>
      <c r="C57" s="2">
        <v>477</v>
      </c>
      <c r="D57" s="2">
        <v>253</v>
      </c>
      <c r="E57" s="2">
        <v>210</v>
      </c>
      <c r="F57" s="2">
        <v>14</v>
      </c>
      <c r="G57" s="2">
        <v>194</v>
      </c>
      <c r="H57" s="2">
        <v>271</v>
      </c>
      <c r="I57" s="2">
        <v>175</v>
      </c>
    </row>
    <row r="58" spans="1:9" x14ac:dyDescent="0.2">
      <c r="A58" t="s">
        <v>59</v>
      </c>
      <c r="B58" t="s">
        <v>68</v>
      </c>
      <c r="C58" s="2">
        <v>357</v>
      </c>
      <c r="D58" s="2">
        <v>201</v>
      </c>
      <c r="E58" s="2">
        <v>143</v>
      </c>
      <c r="F58" s="2">
        <v>13</v>
      </c>
      <c r="G58" s="2">
        <v>147</v>
      </c>
      <c r="H58" s="2">
        <v>193</v>
      </c>
      <c r="I58" s="2">
        <v>108</v>
      </c>
    </row>
    <row r="59" spans="1:9" x14ac:dyDescent="0.2">
      <c r="A59" t="s">
        <v>59</v>
      </c>
      <c r="B59" t="s">
        <v>69</v>
      </c>
      <c r="C59" s="2">
        <v>221</v>
      </c>
      <c r="D59" s="2">
        <v>120</v>
      </c>
      <c r="E59" s="2">
        <v>93</v>
      </c>
      <c r="F59" s="2">
        <v>8</v>
      </c>
      <c r="G59" s="2">
        <v>99</v>
      </c>
      <c r="H59" s="2">
        <v>119</v>
      </c>
      <c r="I59" s="2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D163-989F-134D-8601-68FB434546BE}">
  <dimension ref="A1:F40"/>
  <sheetViews>
    <sheetView workbookViewId="0">
      <pane ySplit="1" topLeftCell="A16" activePane="bottomLeft" state="frozen"/>
      <selection pane="bottomLeft" activeCell="L31" sqref="L31"/>
    </sheetView>
  </sheetViews>
  <sheetFormatPr baseColWidth="10" defaultRowHeight="16" x14ac:dyDescent="0.2"/>
  <cols>
    <col min="1" max="1" width="12.83203125" bestFit="1" customWidth="1"/>
    <col min="2" max="2" width="8.6640625" bestFit="1" customWidth="1"/>
    <col min="3" max="3" width="8.5" bestFit="1" customWidth="1"/>
    <col min="4" max="4" width="16.33203125" bestFit="1" customWidth="1"/>
    <col min="5" max="5" width="7.5" bestFit="1" customWidth="1"/>
    <col min="6" max="6" width="18.83203125" bestFit="1" customWidth="1"/>
  </cols>
  <sheetData>
    <row r="1" spans="1:6" x14ac:dyDescent="0.2">
      <c r="A1" s="1" t="s">
        <v>1</v>
      </c>
      <c r="B1" s="1" t="s">
        <v>70</v>
      </c>
      <c r="C1" s="1" t="s">
        <v>2</v>
      </c>
      <c r="D1" s="1" t="s">
        <v>6</v>
      </c>
      <c r="E1" s="1" t="s">
        <v>7</v>
      </c>
      <c r="F1" s="1" t="s">
        <v>8</v>
      </c>
    </row>
    <row r="2" spans="1:6" x14ac:dyDescent="0.2">
      <c r="A2" t="s">
        <v>71</v>
      </c>
      <c r="B2" t="s">
        <v>72</v>
      </c>
      <c r="C2" s="2">
        <v>136</v>
      </c>
      <c r="D2" s="2">
        <v>36</v>
      </c>
      <c r="E2" s="2">
        <v>46</v>
      </c>
      <c r="F2" s="2">
        <v>31</v>
      </c>
    </row>
    <row r="3" spans="1:6" x14ac:dyDescent="0.2">
      <c r="A3" t="s">
        <v>71</v>
      </c>
      <c r="B3" t="s">
        <v>73</v>
      </c>
      <c r="C3" s="2">
        <v>92</v>
      </c>
      <c r="D3" s="2">
        <v>36</v>
      </c>
      <c r="E3" s="2">
        <v>51</v>
      </c>
      <c r="F3" s="2">
        <v>33</v>
      </c>
    </row>
    <row r="4" spans="1:6" x14ac:dyDescent="0.2">
      <c r="A4" t="s">
        <v>71</v>
      </c>
      <c r="B4" t="s">
        <v>74</v>
      </c>
      <c r="C4" s="2">
        <v>89</v>
      </c>
      <c r="D4" s="2">
        <v>54</v>
      </c>
      <c r="E4" s="2">
        <v>75</v>
      </c>
      <c r="F4" s="2">
        <v>60</v>
      </c>
    </row>
    <row r="5" spans="1:6" x14ac:dyDescent="0.2">
      <c r="A5" t="s">
        <v>75</v>
      </c>
      <c r="B5" t="s">
        <v>72</v>
      </c>
      <c r="C5" s="2">
        <v>108</v>
      </c>
      <c r="D5" s="2">
        <v>29</v>
      </c>
      <c r="E5" s="2">
        <v>37</v>
      </c>
      <c r="F5" s="2">
        <v>27</v>
      </c>
    </row>
    <row r="6" spans="1:6" x14ac:dyDescent="0.2">
      <c r="A6" t="s">
        <v>75</v>
      </c>
      <c r="B6" t="s">
        <v>73</v>
      </c>
      <c r="C6" s="2">
        <v>96</v>
      </c>
      <c r="D6" s="2">
        <v>37</v>
      </c>
      <c r="E6" s="2">
        <v>51</v>
      </c>
      <c r="F6" s="2">
        <v>34</v>
      </c>
    </row>
    <row r="7" spans="1:6" x14ac:dyDescent="0.2">
      <c r="A7" t="s">
        <v>75</v>
      </c>
      <c r="B7" t="s">
        <v>74</v>
      </c>
      <c r="C7" s="2">
        <v>46</v>
      </c>
      <c r="D7" s="2">
        <v>30</v>
      </c>
      <c r="E7" s="2">
        <v>40</v>
      </c>
      <c r="F7" s="2">
        <v>28</v>
      </c>
    </row>
    <row r="8" spans="1:6" x14ac:dyDescent="0.2">
      <c r="A8" t="s">
        <v>76</v>
      </c>
      <c r="B8" t="s">
        <v>72</v>
      </c>
      <c r="C8" s="2">
        <v>125</v>
      </c>
      <c r="D8" s="2">
        <v>32</v>
      </c>
      <c r="E8" s="2">
        <v>40</v>
      </c>
      <c r="F8" s="2">
        <v>33</v>
      </c>
    </row>
    <row r="9" spans="1:6" x14ac:dyDescent="0.2">
      <c r="A9" t="s">
        <v>76</v>
      </c>
      <c r="B9" t="s">
        <v>73</v>
      </c>
      <c r="C9" s="2">
        <v>103</v>
      </c>
      <c r="D9" s="2">
        <v>43</v>
      </c>
      <c r="E9" s="2">
        <v>56</v>
      </c>
      <c r="F9" s="2">
        <v>36</v>
      </c>
    </row>
    <row r="10" spans="1:6" x14ac:dyDescent="0.2">
      <c r="A10" t="s">
        <v>76</v>
      </c>
      <c r="B10" t="s">
        <v>74</v>
      </c>
      <c r="C10" s="2">
        <v>130</v>
      </c>
      <c r="D10" s="2">
        <v>80</v>
      </c>
      <c r="E10" s="2">
        <v>111</v>
      </c>
      <c r="F10" s="2">
        <v>80</v>
      </c>
    </row>
    <row r="11" spans="1:6" x14ac:dyDescent="0.2">
      <c r="A11" t="s">
        <v>77</v>
      </c>
      <c r="B11" t="s">
        <v>72</v>
      </c>
      <c r="C11" s="2">
        <v>138</v>
      </c>
      <c r="D11" s="2">
        <v>40</v>
      </c>
      <c r="E11" s="2">
        <v>49</v>
      </c>
      <c r="F11" s="2">
        <v>33</v>
      </c>
    </row>
    <row r="12" spans="1:6" x14ac:dyDescent="0.2">
      <c r="A12" t="s">
        <v>77</v>
      </c>
      <c r="B12" t="s">
        <v>73</v>
      </c>
      <c r="C12" s="2">
        <v>149</v>
      </c>
      <c r="D12" s="2">
        <v>61</v>
      </c>
      <c r="E12" s="2">
        <v>79</v>
      </c>
      <c r="F12" s="2">
        <v>50</v>
      </c>
    </row>
    <row r="13" spans="1:6" x14ac:dyDescent="0.2">
      <c r="A13" t="s">
        <v>77</v>
      </c>
      <c r="B13" t="s">
        <v>74</v>
      </c>
      <c r="C13" s="2">
        <v>145</v>
      </c>
      <c r="D13" s="2">
        <v>84</v>
      </c>
      <c r="E13" s="2">
        <v>123</v>
      </c>
      <c r="F13" s="2">
        <v>94</v>
      </c>
    </row>
    <row r="14" spans="1:6" x14ac:dyDescent="0.2">
      <c r="A14" t="s">
        <v>78</v>
      </c>
      <c r="B14" t="s">
        <v>72</v>
      </c>
      <c r="C14" s="2">
        <v>69</v>
      </c>
      <c r="D14" s="2">
        <v>18</v>
      </c>
      <c r="E14" s="2">
        <v>25</v>
      </c>
      <c r="F14" s="2">
        <v>18</v>
      </c>
    </row>
    <row r="15" spans="1:6" x14ac:dyDescent="0.2">
      <c r="A15" t="s">
        <v>78</v>
      </c>
      <c r="B15" t="s">
        <v>73</v>
      </c>
      <c r="C15" s="2">
        <v>114</v>
      </c>
      <c r="D15" s="2">
        <v>45</v>
      </c>
      <c r="E15" s="2">
        <v>61</v>
      </c>
      <c r="F15" s="2">
        <v>42</v>
      </c>
    </row>
    <row r="16" spans="1:6" x14ac:dyDescent="0.2">
      <c r="A16" t="s">
        <v>78</v>
      </c>
      <c r="B16" t="s">
        <v>74</v>
      </c>
      <c r="C16" s="2">
        <v>93</v>
      </c>
      <c r="D16" s="2">
        <v>56</v>
      </c>
      <c r="E16" s="2">
        <v>81</v>
      </c>
      <c r="F16" s="2">
        <v>56</v>
      </c>
    </row>
    <row r="17" spans="1:6" x14ac:dyDescent="0.2">
      <c r="A17" t="s">
        <v>79</v>
      </c>
      <c r="B17" t="s">
        <v>72</v>
      </c>
      <c r="C17" s="2">
        <v>126</v>
      </c>
      <c r="D17" s="2">
        <v>32</v>
      </c>
      <c r="E17" s="2">
        <v>40</v>
      </c>
      <c r="F17" s="2">
        <v>28</v>
      </c>
    </row>
    <row r="18" spans="1:6" x14ac:dyDescent="0.2">
      <c r="A18" t="s">
        <v>79</v>
      </c>
      <c r="B18" t="s">
        <v>73</v>
      </c>
      <c r="C18" s="2">
        <v>135</v>
      </c>
      <c r="D18" s="2">
        <v>49</v>
      </c>
      <c r="E18" s="2">
        <v>69</v>
      </c>
      <c r="F18" s="2">
        <v>46</v>
      </c>
    </row>
    <row r="19" spans="1:6" x14ac:dyDescent="0.2">
      <c r="A19" t="s">
        <v>79</v>
      </c>
      <c r="B19" t="s">
        <v>74</v>
      </c>
      <c r="C19" s="2">
        <v>76</v>
      </c>
      <c r="D19" s="2">
        <v>51</v>
      </c>
      <c r="E19" s="2">
        <v>65</v>
      </c>
      <c r="F19" s="2">
        <v>48</v>
      </c>
    </row>
    <row r="20" spans="1:6" x14ac:dyDescent="0.2">
      <c r="A20" t="s">
        <v>80</v>
      </c>
      <c r="B20" t="s">
        <v>72</v>
      </c>
      <c r="C20" s="2">
        <v>40</v>
      </c>
      <c r="D20" s="2">
        <v>11</v>
      </c>
      <c r="E20" s="2">
        <v>15</v>
      </c>
      <c r="F20" s="2">
        <v>11</v>
      </c>
    </row>
    <row r="21" spans="1:6" x14ac:dyDescent="0.2">
      <c r="A21" t="s">
        <v>80</v>
      </c>
      <c r="B21" t="s">
        <v>73</v>
      </c>
      <c r="C21" s="2">
        <v>140</v>
      </c>
      <c r="D21" s="2">
        <v>61</v>
      </c>
      <c r="E21" s="2">
        <v>74</v>
      </c>
      <c r="F21" s="2">
        <v>47</v>
      </c>
    </row>
    <row r="22" spans="1:6" x14ac:dyDescent="0.2">
      <c r="A22" t="s">
        <v>80</v>
      </c>
      <c r="B22" t="s">
        <v>74</v>
      </c>
      <c r="C22" s="2">
        <v>118</v>
      </c>
      <c r="D22" s="2">
        <v>71</v>
      </c>
      <c r="E22" s="2">
        <v>99</v>
      </c>
      <c r="F22" s="2">
        <v>78</v>
      </c>
    </row>
    <row r="23" spans="1:6" x14ac:dyDescent="0.2">
      <c r="A23" t="s">
        <v>81</v>
      </c>
      <c r="B23" t="s">
        <v>72</v>
      </c>
      <c r="C23" s="2">
        <v>139</v>
      </c>
      <c r="D23" s="2">
        <v>41</v>
      </c>
      <c r="E23" s="2">
        <v>46</v>
      </c>
      <c r="F23" s="2">
        <v>37</v>
      </c>
    </row>
    <row r="24" spans="1:6" x14ac:dyDescent="0.2">
      <c r="A24" t="s">
        <v>81</v>
      </c>
      <c r="B24" t="s">
        <v>73</v>
      </c>
      <c r="C24" s="2">
        <v>42</v>
      </c>
      <c r="D24" s="2">
        <v>16</v>
      </c>
      <c r="E24" s="2">
        <v>21</v>
      </c>
      <c r="F24" s="2">
        <v>16</v>
      </c>
    </row>
    <row r="25" spans="1:6" x14ac:dyDescent="0.2">
      <c r="A25" t="s">
        <v>81</v>
      </c>
      <c r="B25" t="s">
        <v>74</v>
      </c>
      <c r="C25" s="2">
        <v>75</v>
      </c>
      <c r="D25" s="2">
        <v>48</v>
      </c>
      <c r="E25" s="2">
        <v>65</v>
      </c>
      <c r="F25" s="2">
        <v>44</v>
      </c>
    </row>
    <row r="26" spans="1:6" x14ac:dyDescent="0.2">
      <c r="A26" t="s">
        <v>82</v>
      </c>
      <c r="B26" t="s">
        <v>72</v>
      </c>
      <c r="C26" s="2">
        <v>126</v>
      </c>
      <c r="D26" s="2">
        <v>33</v>
      </c>
      <c r="E26" s="2">
        <v>40</v>
      </c>
      <c r="F26" s="2">
        <v>30</v>
      </c>
    </row>
    <row r="27" spans="1:6" x14ac:dyDescent="0.2">
      <c r="A27" t="s">
        <v>82</v>
      </c>
      <c r="B27" t="s">
        <v>73</v>
      </c>
      <c r="C27" s="2">
        <v>72</v>
      </c>
      <c r="D27" s="2">
        <v>27</v>
      </c>
      <c r="E27" s="2">
        <v>37</v>
      </c>
      <c r="F27" s="2">
        <v>26</v>
      </c>
    </row>
    <row r="28" spans="1:6" x14ac:dyDescent="0.2">
      <c r="A28" t="s">
        <v>82</v>
      </c>
      <c r="B28" t="s">
        <v>74</v>
      </c>
      <c r="C28" s="2">
        <v>145</v>
      </c>
      <c r="D28" s="2">
        <v>85</v>
      </c>
      <c r="E28" s="2">
        <v>118</v>
      </c>
      <c r="F28" s="2">
        <v>98</v>
      </c>
    </row>
    <row r="29" spans="1:6" x14ac:dyDescent="0.2">
      <c r="A29" t="s">
        <v>83</v>
      </c>
      <c r="B29" t="s">
        <v>72</v>
      </c>
      <c r="C29" s="2">
        <v>85</v>
      </c>
      <c r="D29" s="2">
        <v>25</v>
      </c>
      <c r="E29" s="2">
        <v>29</v>
      </c>
      <c r="F29" s="2">
        <v>18</v>
      </c>
    </row>
    <row r="30" spans="1:6" x14ac:dyDescent="0.2">
      <c r="A30" t="s">
        <v>83</v>
      </c>
      <c r="B30" t="s">
        <v>73</v>
      </c>
      <c r="C30" s="2">
        <v>41</v>
      </c>
      <c r="D30" s="2">
        <v>15</v>
      </c>
      <c r="E30" s="2">
        <v>23</v>
      </c>
      <c r="F30" s="2">
        <v>15</v>
      </c>
    </row>
    <row r="31" spans="1:6" x14ac:dyDescent="0.2">
      <c r="A31" t="s">
        <v>83</v>
      </c>
      <c r="B31" t="s">
        <v>74</v>
      </c>
      <c r="C31" s="2">
        <v>78</v>
      </c>
      <c r="D31" s="2">
        <v>52</v>
      </c>
      <c r="E31" s="2">
        <v>67</v>
      </c>
      <c r="F31" s="2">
        <v>49</v>
      </c>
    </row>
    <row r="32" spans="1:6" x14ac:dyDescent="0.2">
      <c r="A32" t="s">
        <v>84</v>
      </c>
      <c r="B32" t="s">
        <v>72</v>
      </c>
      <c r="C32" s="2">
        <v>132</v>
      </c>
      <c r="D32" s="2">
        <v>36</v>
      </c>
      <c r="E32" s="2">
        <v>46</v>
      </c>
      <c r="F32" s="2">
        <v>28</v>
      </c>
    </row>
    <row r="33" spans="1:6" x14ac:dyDescent="0.2">
      <c r="A33" t="s">
        <v>84</v>
      </c>
      <c r="B33" t="s">
        <v>73</v>
      </c>
      <c r="C33" s="2">
        <v>132</v>
      </c>
      <c r="D33" s="2">
        <v>51</v>
      </c>
      <c r="E33" s="2">
        <v>68</v>
      </c>
      <c r="F33" s="2">
        <v>50</v>
      </c>
    </row>
    <row r="34" spans="1:6" x14ac:dyDescent="0.2">
      <c r="A34" t="s">
        <v>84</v>
      </c>
      <c r="B34" t="s">
        <v>74</v>
      </c>
      <c r="C34" s="2">
        <v>105</v>
      </c>
      <c r="D34" s="2">
        <v>70</v>
      </c>
      <c r="E34" s="2">
        <v>92</v>
      </c>
      <c r="F34" s="2">
        <v>68</v>
      </c>
    </row>
    <row r="35" spans="1:6" x14ac:dyDescent="0.2">
      <c r="A35" t="s">
        <v>85</v>
      </c>
      <c r="B35" t="s">
        <v>72</v>
      </c>
      <c r="C35" s="2">
        <v>141</v>
      </c>
      <c r="D35" s="2">
        <v>39</v>
      </c>
      <c r="E35" s="2">
        <v>51</v>
      </c>
      <c r="F35" s="2">
        <v>29</v>
      </c>
    </row>
    <row r="36" spans="1:6" x14ac:dyDescent="0.2">
      <c r="A36" t="s">
        <v>85</v>
      </c>
      <c r="B36" t="s">
        <v>73</v>
      </c>
      <c r="C36" s="2">
        <v>96</v>
      </c>
      <c r="D36" s="2">
        <v>37</v>
      </c>
      <c r="E36" s="2">
        <v>51</v>
      </c>
      <c r="F36" s="2">
        <v>36</v>
      </c>
    </row>
    <row r="37" spans="1:6" x14ac:dyDescent="0.2">
      <c r="A37" t="s">
        <v>85</v>
      </c>
      <c r="B37" t="s">
        <v>74</v>
      </c>
      <c r="C37" s="2">
        <v>80</v>
      </c>
      <c r="D37" s="2">
        <v>52</v>
      </c>
      <c r="E37" s="2">
        <v>68</v>
      </c>
      <c r="F37" s="2">
        <v>48</v>
      </c>
    </row>
    <row r="38" spans="1:6" x14ac:dyDescent="0.2">
      <c r="A38" t="s">
        <v>86</v>
      </c>
      <c r="B38" t="s">
        <v>72</v>
      </c>
      <c r="C38" s="2">
        <v>147</v>
      </c>
      <c r="D38" s="2">
        <v>40</v>
      </c>
      <c r="E38" s="2">
        <v>51</v>
      </c>
      <c r="F38" s="2">
        <v>34</v>
      </c>
    </row>
    <row r="39" spans="1:6" x14ac:dyDescent="0.2">
      <c r="A39" t="s">
        <v>86</v>
      </c>
      <c r="B39" t="s">
        <v>73</v>
      </c>
      <c r="C39" s="2">
        <v>50</v>
      </c>
      <c r="D39" s="2">
        <v>19</v>
      </c>
      <c r="E39" s="2">
        <v>26</v>
      </c>
      <c r="F39" s="2">
        <v>17</v>
      </c>
    </row>
    <row r="40" spans="1:6" x14ac:dyDescent="0.2">
      <c r="A40" t="s">
        <v>86</v>
      </c>
      <c r="B40" t="s">
        <v>74</v>
      </c>
      <c r="C40" s="2">
        <v>86</v>
      </c>
      <c r="D40" s="2">
        <v>55</v>
      </c>
      <c r="E40" s="2">
        <v>76</v>
      </c>
      <c r="F40" s="2">
        <v>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9231-7982-D048-B200-5D67977BC9A3}">
  <dimension ref="A1:I7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10" defaultRowHeight="16" x14ac:dyDescent="0.2"/>
  <cols>
    <col min="1" max="1" width="12.83203125" bestFit="1" customWidth="1"/>
    <col min="2" max="9" width="9.1640625" customWidth="1"/>
  </cols>
  <sheetData>
    <row r="1" spans="1:9" x14ac:dyDescent="0.2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</row>
    <row r="2" spans="1:9" x14ac:dyDescent="0.2">
      <c r="A2" t="s">
        <v>96</v>
      </c>
      <c r="B2" s="2">
        <v>67</v>
      </c>
      <c r="C2" s="2">
        <v>73</v>
      </c>
      <c r="D2" s="2">
        <v>79</v>
      </c>
      <c r="E2" s="3">
        <f>SUM(B2:D2)</f>
        <v>219</v>
      </c>
      <c r="F2" s="2">
        <v>89</v>
      </c>
      <c r="G2" s="2">
        <v>95</v>
      </c>
      <c r="H2" s="2">
        <v>104</v>
      </c>
      <c r="I2" s="3">
        <f>SUM(F2:H2)</f>
        <v>288</v>
      </c>
    </row>
    <row r="3" spans="1:9" x14ac:dyDescent="0.2">
      <c r="A3" t="s">
        <v>97</v>
      </c>
      <c r="B3" s="2">
        <v>44</v>
      </c>
      <c r="C3" s="2">
        <v>49</v>
      </c>
      <c r="D3" s="2">
        <v>53</v>
      </c>
      <c r="E3" s="3">
        <f>SUM(B3:D3)</f>
        <v>146</v>
      </c>
      <c r="F3" s="2">
        <v>59</v>
      </c>
      <c r="G3" s="2">
        <v>65</v>
      </c>
      <c r="H3" s="2">
        <v>73</v>
      </c>
      <c r="I3" s="3">
        <f>SUM(F3:H3)</f>
        <v>197</v>
      </c>
    </row>
    <row r="4" spans="1:9" x14ac:dyDescent="0.2">
      <c r="A4" t="s">
        <v>98</v>
      </c>
      <c r="B4" s="2">
        <v>23</v>
      </c>
      <c r="C4" s="2">
        <v>26</v>
      </c>
      <c r="D4" s="2">
        <v>28</v>
      </c>
      <c r="E4" s="3">
        <f>SUM(B4:D4)</f>
        <v>77</v>
      </c>
      <c r="F4" s="2">
        <v>32</v>
      </c>
      <c r="G4" s="2">
        <v>35</v>
      </c>
      <c r="H4" s="2">
        <v>39</v>
      </c>
      <c r="I4" s="3">
        <f>SUM(F4:H4)</f>
        <v>106</v>
      </c>
    </row>
    <row r="5" spans="1:9" x14ac:dyDescent="0.2">
      <c r="A5" t="s">
        <v>99</v>
      </c>
      <c r="B5" s="2">
        <v>13</v>
      </c>
      <c r="C5" s="2">
        <v>14</v>
      </c>
      <c r="D5" s="2">
        <v>15</v>
      </c>
      <c r="E5" s="3">
        <f>SUM(B5:D5)</f>
        <v>42</v>
      </c>
      <c r="F5" s="2">
        <v>17</v>
      </c>
      <c r="G5" s="2">
        <v>19</v>
      </c>
      <c r="H5" s="2">
        <v>20</v>
      </c>
      <c r="I5" s="3">
        <f>SUM(F5:H5)</f>
        <v>56</v>
      </c>
    </row>
    <row r="6" spans="1:9" x14ac:dyDescent="0.2">
      <c r="A6" t="s">
        <v>100</v>
      </c>
      <c r="B6" s="2">
        <v>48</v>
      </c>
      <c r="C6" s="2">
        <v>51</v>
      </c>
      <c r="D6" s="2">
        <v>55</v>
      </c>
      <c r="E6" s="3">
        <f>SUM(B6:D6)</f>
        <v>154</v>
      </c>
      <c r="F6" s="2">
        <v>61</v>
      </c>
      <c r="G6" s="2">
        <v>67</v>
      </c>
      <c r="H6" s="2">
        <v>75</v>
      </c>
      <c r="I6" s="3">
        <f>SUM(F6:H6)</f>
        <v>203</v>
      </c>
    </row>
    <row r="7" spans="1:9" x14ac:dyDescent="0.2">
      <c r="A7" t="s">
        <v>101</v>
      </c>
      <c r="B7" s="2">
        <v>10</v>
      </c>
      <c r="C7" s="2">
        <v>11</v>
      </c>
      <c r="D7" s="2">
        <v>13</v>
      </c>
      <c r="E7" s="3">
        <f>SUM(B7:D7)</f>
        <v>34</v>
      </c>
      <c r="F7" s="2">
        <v>15</v>
      </c>
      <c r="G7" s="2">
        <v>17</v>
      </c>
      <c r="H7" s="2">
        <v>19</v>
      </c>
      <c r="I7" s="3">
        <f>SUM(F7:H7)</f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Top End Survey</vt:lpstr>
      <vt:lpstr>Alice Springs Survey</vt:lpstr>
      <vt:lpstr>Hub Phishing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Imogen April Davis</dc:creator>
  <cp:lastModifiedBy>Imogen April Davis</cp:lastModifiedBy>
  <dcterms:created xsi:type="dcterms:W3CDTF">2026-07-12T08:31:12Z</dcterms:created>
  <dcterms:modified xsi:type="dcterms:W3CDTF">2026-07-12T08:45:15Z</dcterms:modified>
</cp:coreProperties>
</file>